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sw-my.sharepoint.com/personal/z5189580_ad_unsw_edu_au/Documents/Desktop/"/>
    </mc:Choice>
  </mc:AlternateContent>
  <xr:revisionPtr revIDLastSave="399" documentId="13_ncr:1_{6C80C7F7-5EA0-4A83-AB46-017084A156D1}" xr6:coauthVersionLast="47" xr6:coauthVersionMax="47" xr10:uidLastSave="{D5D685D3-FD67-4839-A855-4ABE332B8939}"/>
  <bookViews>
    <workbookView xWindow="28680" yWindow="-120" windowWidth="51840" windowHeight="21120" activeTab="1" xr2:uid="{8D0D41B0-9FAA-4CF7-9CA4-3043F9F5D18B}"/>
  </bookViews>
  <sheets>
    <sheet name="Summary" sheetId="1" r:id="rId1"/>
    <sheet name="Data" sheetId="2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78" i="1" l="1"/>
  <c r="E378" i="1"/>
  <c r="F378" i="1"/>
  <c r="H378" i="1"/>
  <c r="K378" i="1"/>
  <c r="L378" i="1"/>
  <c r="M378" i="1"/>
  <c r="N378" i="1"/>
  <c r="D379" i="1"/>
  <c r="E379" i="1"/>
  <c r="F379" i="1"/>
  <c r="H379" i="1"/>
  <c r="K379" i="1"/>
  <c r="L379" i="1"/>
  <c r="M379" i="1"/>
  <c r="N379" i="1"/>
  <c r="D380" i="1"/>
  <c r="E380" i="1"/>
  <c r="F380" i="1"/>
  <c r="H380" i="1"/>
  <c r="K380" i="1"/>
  <c r="L380" i="1"/>
  <c r="M380" i="1"/>
  <c r="N380" i="1"/>
  <c r="D381" i="1"/>
  <c r="E381" i="1"/>
  <c r="F381" i="1"/>
  <c r="H381" i="1"/>
  <c r="K381" i="1"/>
  <c r="L381" i="1"/>
  <c r="M381" i="1"/>
  <c r="N381" i="1"/>
  <c r="D382" i="1"/>
  <c r="E382" i="1"/>
  <c r="F382" i="1"/>
  <c r="H382" i="1"/>
  <c r="K382" i="1"/>
  <c r="L382" i="1"/>
  <c r="M382" i="1"/>
  <c r="N382" i="1"/>
  <c r="D383" i="1"/>
  <c r="E383" i="1"/>
  <c r="F383" i="1"/>
  <c r="H383" i="1"/>
  <c r="K383" i="1"/>
  <c r="L383" i="1"/>
  <c r="M383" i="1"/>
  <c r="N383" i="1"/>
  <c r="D384" i="1"/>
  <c r="E384" i="1"/>
  <c r="F384" i="1"/>
  <c r="H384" i="1"/>
  <c r="K384" i="1"/>
  <c r="L384" i="1"/>
  <c r="M384" i="1"/>
  <c r="N384" i="1"/>
  <c r="D385" i="1"/>
  <c r="E385" i="1"/>
  <c r="F385" i="1"/>
  <c r="H385" i="1"/>
  <c r="K385" i="1"/>
  <c r="L385" i="1"/>
  <c r="M385" i="1"/>
  <c r="N385" i="1"/>
  <c r="D386" i="1"/>
  <c r="E386" i="1"/>
  <c r="F386" i="1"/>
  <c r="H386" i="1"/>
  <c r="K386" i="1"/>
  <c r="L386" i="1"/>
  <c r="M386" i="1"/>
  <c r="N386" i="1"/>
  <c r="D387" i="1"/>
  <c r="E387" i="1"/>
  <c r="F387" i="1"/>
  <c r="H387" i="1"/>
  <c r="K387" i="1"/>
  <c r="L387" i="1"/>
  <c r="M387" i="1"/>
  <c r="N387" i="1"/>
</calcChain>
</file>

<file path=xl/sharedStrings.xml><?xml version="1.0" encoding="utf-8"?>
<sst xmlns="http://schemas.openxmlformats.org/spreadsheetml/2006/main" count="227" uniqueCount="110">
  <si>
    <t>README</t>
  </si>
  <si>
    <t>No</t>
  </si>
  <si>
    <t>ID</t>
  </si>
  <si>
    <t>Overall</t>
  </si>
  <si>
    <t>Domain 1</t>
  </si>
  <si>
    <t>Domain 2</t>
  </si>
  <si>
    <t>Domain 3</t>
  </si>
  <si>
    <t>Domain 4</t>
  </si>
  <si>
    <t>Domain 5</t>
  </si>
  <si>
    <t>Domain 6</t>
  </si>
  <si>
    <t>Domain 7</t>
  </si>
  <si>
    <t>1. The  tool is developed based on RoBINS-I-V2, available from https://www.riskofbias.info/welcome/robins-i-v2.</t>
  </si>
  <si>
    <t>Click the button to see the RoB form</t>
  </si>
  <si>
    <t>2. Unfortunately it is not compatible with Mac operating system.</t>
  </si>
  <si>
    <t>Citation: Huang, XT, Automatic tool for Risk of Bias In Non-randomised Studies of Interventions (ROBINS-I), 2025. National Drug and Alcohol Research Centre (NDARC), University of New South Wales, Australia. Available from: https://www.unsw.edu.au/research/ndarc/resources/risk_of_bias_tool</t>
  </si>
  <si>
    <t>Time</t>
  </si>
  <si>
    <t>Assessor</t>
  </si>
  <si>
    <t>Confounding factors</t>
  </si>
  <si>
    <t>Numerical results</t>
  </si>
  <si>
    <t>Details on numerical results</t>
  </si>
  <si>
    <t>Outcomes</t>
  </si>
  <si>
    <t>Participant group</t>
  </si>
  <si>
    <t>B1</t>
  </si>
  <si>
    <t>B1 notes</t>
  </si>
  <si>
    <t>B2</t>
  </si>
  <si>
    <t>B2 notes</t>
  </si>
  <si>
    <t>B3</t>
  </si>
  <si>
    <t>B3 notes</t>
  </si>
  <si>
    <t>Proceed with RoB? (Y/N)</t>
  </si>
  <si>
    <t>C2</t>
  </si>
  <si>
    <t>C2 notes</t>
  </si>
  <si>
    <t>C3</t>
  </si>
  <si>
    <t>C3 notes</t>
  </si>
  <si>
    <t>1.1 notes</t>
  </si>
  <si>
    <t>1.2 notes</t>
  </si>
  <si>
    <t>1.3 notes</t>
  </si>
  <si>
    <t>1.4 notes</t>
  </si>
  <si>
    <t>1.5 notes</t>
  </si>
  <si>
    <t>Domain 1 RoB</t>
  </si>
  <si>
    <t>2.1 notes</t>
  </si>
  <si>
    <t>2.2 notes</t>
  </si>
  <si>
    <t>2.3 notes</t>
  </si>
  <si>
    <t>2.4 notes</t>
  </si>
  <si>
    <t>2.5 notes</t>
  </si>
  <si>
    <t>Domain 2 RoB</t>
  </si>
  <si>
    <t>3.1 notes</t>
  </si>
  <si>
    <t>3.2 notes</t>
  </si>
  <si>
    <t>3.3 notes</t>
  </si>
  <si>
    <t>3.4 notes</t>
  </si>
  <si>
    <t>3.5 notes</t>
  </si>
  <si>
    <t>3.6 notes</t>
  </si>
  <si>
    <t>3.7  notes</t>
  </si>
  <si>
    <t>3.8  notes</t>
  </si>
  <si>
    <t>3.9  notes</t>
  </si>
  <si>
    <t>3.10  notes</t>
  </si>
  <si>
    <t>Domain 3 RoB</t>
  </si>
  <si>
    <t>4.1 notes</t>
  </si>
  <si>
    <t>4.2 notes</t>
  </si>
  <si>
    <t>4.3 notes</t>
  </si>
  <si>
    <t>4.4 notes</t>
  </si>
  <si>
    <t>4.5 notes</t>
  </si>
  <si>
    <t>Domain 4 RoB</t>
  </si>
  <si>
    <t>5.1 notes</t>
  </si>
  <si>
    <t>5.2 notes</t>
  </si>
  <si>
    <t>5.3 notes</t>
  </si>
  <si>
    <t>5.4 notes</t>
  </si>
  <si>
    <t>5.5 notes</t>
  </si>
  <si>
    <t>5.6 notes</t>
  </si>
  <si>
    <t>5.7  notes</t>
  </si>
  <si>
    <t>5.8  notes</t>
  </si>
  <si>
    <t>5.9  notes</t>
  </si>
  <si>
    <t>5.10  notes</t>
  </si>
  <si>
    <t>5.11 notes</t>
  </si>
  <si>
    <t>Domain 5 RoB</t>
  </si>
  <si>
    <t>6.1 notes</t>
  </si>
  <si>
    <t>6.2 notes</t>
  </si>
  <si>
    <t>6.3 notes</t>
  </si>
  <si>
    <t>Domain 6 RoB</t>
  </si>
  <si>
    <t>7.1 notes</t>
  </si>
  <si>
    <t>7 notes</t>
  </si>
  <si>
    <t>Domain 7 RoB</t>
  </si>
  <si>
    <t>Overall RoB by Algorithm</t>
  </si>
  <si>
    <t>Assessor's decision on RoB</t>
  </si>
  <si>
    <t>Notes on RoB judgement</t>
  </si>
  <si>
    <t>General notes</t>
  </si>
  <si>
    <t>Predicted direction of bias</t>
  </si>
  <si>
    <t>Changes that will (and not) be considered to be deviations from protocol</t>
  </si>
  <si>
    <t>Intervention strategy</t>
  </si>
  <si>
    <t>Comparator strategy</t>
  </si>
  <si>
    <t>Eligible criteria</t>
  </si>
  <si>
    <t>Factor</t>
  </si>
  <si>
    <t>Variables measured for this factor</t>
  </si>
  <si>
    <t>Was the variables controlled for?</t>
  </si>
  <si>
    <t>Was the factor measured validly and reliably by the variables?      OR     Is there evidence that controlling for it was unnecessary?</t>
  </si>
  <si>
    <t>Notes</t>
  </si>
  <si>
    <t>Domain 1 ROB_assessor's decision</t>
  </si>
  <si>
    <t>Domain 2 ROB_assessor's decision</t>
  </si>
  <si>
    <t>Domain 3 ROB_assessor's decision</t>
  </si>
  <si>
    <t>Domain 4 ROB_assessor's decision</t>
  </si>
  <si>
    <t>Domain 5 ROB_assessor's decision</t>
  </si>
  <si>
    <t>Domain 6 ROB_assessor's decision</t>
  </si>
  <si>
    <t>Domain 7 ROB_assessor's decision</t>
  </si>
  <si>
    <t xml:space="preserve">3. To pre-fill a box, e.g. confounding factors, put down a No. and fill in the corresponding column in the Data sheet </t>
  </si>
  <si>
    <r>
      <t xml:space="preserve">4. </t>
    </r>
    <r>
      <rPr>
        <sz val="11"/>
        <color rgb="FFFF0000"/>
        <rFont val="Aptos Narrow"/>
        <family val="2"/>
        <scheme val="minor"/>
      </rPr>
      <t>Always enter a No.</t>
    </r>
    <r>
      <rPr>
        <sz val="11"/>
        <color theme="1"/>
        <rFont val="Aptos Narrow"/>
        <family val="2"/>
        <scheme val="minor"/>
      </rPr>
      <t>, otherwise it won't be saved; it is the unique identification number for each study in this file</t>
    </r>
  </si>
  <si>
    <t>5. ID provides an additional ID system if needed, e.g. RedCap ID, Covidence ID</t>
  </si>
  <si>
    <t>6. To change the order of a record in the form,  go to the Data sheet, cut the entire row of that record and place it in the positon you want.</t>
  </si>
  <si>
    <t>7. The form is linked to the Data sheet, if you change the value in the Data sheet, your forms will change as well.</t>
  </si>
  <si>
    <t>8. If you identify any bugs or issues, or  have suggestions, feel free to contact me via email or on https://github.com/xintongxh/ROBINS-Itool.</t>
  </si>
  <si>
    <t>Domain 1 Variant (A/B)</t>
  </si>
  <si>
    <t>Domain 4 Variant (A/B)
Effect of interest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</si>
</sst>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12"/>
      <color rgb="FF000000"/>
      <name val="Aptos Narrow"/>
      <family val="2"/>
    </font>
  </fonts>
  <fills count="9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9C7DB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center"/>
    </xf>
    <xf numFmtId="0" fontId="0" fillId="4" borderId="1" xfId="0" applyFill="1" applyBorder="1" applyAlignment="1">
      <alignment horizontal="center" vertical="center" wrapText="1"/>
    </xf>
    <xf numFmtId="22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2" fontId="1" fillId="2" borderId="1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left" vertical="top"/>
    </xf>
    <xf numFmtId="0" fontId="0" fillId="8" borderId="2" xfId="0" applyFill="1" applyBorder="1" applyAlignment="1">
      <alignment horizontal="left" vertical="center" wrapText="1"/>
    </xf>
    <xf numFmtId="0" fontId="0" fillId="8" borderId="3" xfId="0" applyFill="1" applyBorder="1" applyAlignment="1">
      <alignment horizontal="left" vertical="center" wrapText="1"/>
    </xf>
    <xf numFmtId="0" fontId="0" fillId="8" borderId="4" xfId="0" applyFill="1" applyBorder="1" applyAlignment="1">
      <alignment horizontal="left" vertical="center" wrapText="1"/>
    </xf>
    <xf numFmtId="0" fontId="2" fillId="0" borderId="0" xfId="0" applyFont="1" applyAlignment="1">
      <alignment horizontal="center" wrapText="1"/>
    </xf>
    <xf numFmtId="0" fontId="2" fillId="0" borderId="5" xfId="0" applyFont="1" applyBorder="1" applyAlignment="1">
      <alignment horizontal="center" wrapText="1"/>
    </xf>
    <xf numFmtId="0" fontId="0" fillId="2" borderId="3" xfId="0" applyFill="1" applyBorder="1" applyAlignment="1">
      <alignment horizontal="left" vertical="top" wrapText="1"/>
    </xf>
    <xf numFmtId="0" fontId="0" fillId="2" borderId="4" xfId="0" applyFill="1" applyBorder="1" applyAlignment="1">
      <alignment horizontal="left" vertical="top" wrapText="1"/>
    </xf>
  </cellXfs>
  <cellStyles count="1">
    <cellStyle name="Normal" xfId="0" builtinId="0"/>
  </cellStyles>
  <dxfs count="6">
    <dxf>
      <font>
        <color theme="2"/>
      </font>
      <fill>
        <patternFill>
          <bgColor theme="1" tint="4.9989318521683403E-2"/>
        </patternFill>
      </fill>
    </dxf>
    <dxf>
      <fill>
        <patternFill>
          <bgColor theme="2" tint="-9.9948118533890809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F9C7DB"/>
      <color rgb="FFCCE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146050</xdr:rowOff>
        </xdr:from>
        <xdr:to>
          <xdr:col>3</xdr:col>
          <xdr:colOff>0</xdr:colOff>
          <xdr:row>9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AU" sz="1200" b="0" i="0" u="none" strike="noStrike" baseline="0">
                  <a:solidFill>
                    <a:srgbClr val="000000"/>
                  </a:solidFill>
                  <a:latin typeface="Aptos Narrow"/>
                </a:rPr>
                <a:t>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9D7DD-0B92-4599-BE0C-376B2A0E14EF}">
  <sheetPr codeName="Sheet1"/>
  <dimension ref="A1:N387"/>
  <sheetViews>
    <sheetView zoomScale="112" workbookViewId="0">
      <selection activeCell="D2" sqref="D2:D4"/>
    </sheetView>
  </sheetViews>
  <sheetFormatPr defaultRowHeight="14.5" x14ac:dyDescent="0.35"/>
  <cols>
    <col min="1" max="1" width="50.26953125" customWidth="1"/>
    <col min="4" max="5" width="5.54296875" style="4" customWidth="1"/>
    <col min="6" max="6" width="12.54296875" style="10" customWidth="1"/>
    <col min="7" max="7" width="6.453125" style="1" customWidth="1"/>
    <col min="8" max="12" width="15.54296875" style="9" customWidth="1"/>
    <col min="13" max="13" width="17.26953125" style="9" customWidth="1"/>
    <col min="14" max="14" width="15.54296875" style="9" customWidth="1"/>
  </cols>
  <sheetData>
    <row r="1" spans="1:14" s="12" customFormat="1" x14ac:dyDescent="0.35">
      <c r="A1" s="25" t="s">
        <v>0</v>
      </c>
      <c r="D1" s="11" t="s">
        <v>1</v>
      </c>
      <c r="E1" s="11" t="s">
        <v>2</v>
      </c>
      <c r="F1" s="11" t="s">
        <v>3</v>
      </c>
      <c r="G1" s="13"/>
      <c r="H1" s="11" t="s">
        <v>4</v>
      </c>
      <c r="I1" s="11" t="s">
        <v>5</v>
      </c>
      <c r="J1" s="11" t="s">
        <v>6</v>
      </c>
      <c r="K1" s="11" t="s">
        <v>7</v>
      </c>
      <c r="L1" s="11" t="s">
        <v>8</v>
      </c>
      <c r="M1" s="11" t="s">
        <v>9</v>
      </c>
      <c r="N1" s="11" t="s">
        <v>10</v>
      </c>
    </row>
    <row r="2" spans="1:14" ht="14.5" customHeight="1" x14ac:dyDescent="0.35">
      <c r="A2" s="31" t="s">
        <v>11</v>
      </c>
      <c r="B2" s="29" t="s">
        <v>12</v>
      </c>
      <c r="C2" s="30"/>
      <c r="D2" s="4">
        <v>1</v>
      </c>
    </row>
    <row r="3" spans="1:14" x14ac:dyDescent="0.35">
      <c r="A3" s="31"/>
      <c r="B3" s="29"/>
      <c r="C3" s="30"/>
    </row>
    <row r="4" spans="1:14" x14ac:dyDescent="0.35">
      <c r="A4" s="31"/>
    </row>
    <row r="5" spans="1:14" x14ac:dyDescent="0.35">
      <c r="A5" s="31" t="s">
        <v>13</v>
      </c>
    </row>
    <row r="6" spans="1:14" x14ac:dyDescent="0.35">
      <c r="A6" s="31"/>
    </row>
    <row r="7" spans="1:14" x14ac:dyDescent="0.35">
      <c r="A7" s="31"/>
    </row>
    <row r="8" spans="1:14" x14ac:dyDescent="0.35">
      <c r="A8" s="31" t="s">
        <v>102</v>
      </c>
    </row>
    <row r="9" spans="1:14" x14ac:dyDescent="0.35">
      <c r="A9" s="31"/>
    </row>
    <row r="10" spans="1:14" x14ac:dyDescent="0.35">
      <c r="A10" s="31"/>
    </row>
    <row r="11" spans="1:14" ht="14.5" customHeight="1" x14ac:dyDescent="0.35">
      <c r="A11" s="31" t="s">
        <v>103</v>
      </c>
    </row>
    <row r="12" spans="1:14" x14ac:dyDescent="0.35">
      <c r="A12" s="31"/>
    </row>
    <row r="13" spans="1:14" x14ac:dyDescent="0.35">
      <c r="A13" s="31"/>
    </row>
    <row r="14" spans="1:14" x14ac:dyDescent="0.35">
      <c r="A14" s="31" t="s">
        <v>104</v>
      </c>
    </row>
    <row r="15" spans="1:14" x14ac:dyDescent="0.35">
      <c r="A15" s="31"/>
    </row>
    <row r="16" spans="1:14" ht="14.5" customHeight="1" x14ac:dyDescent="0.35">
      <c r="A16" s="31"/>
      <c r="D16" s="11"/>
      <c r="E16" s="11"/>
      <c r="F16" s="18"/>
      <c r="G16" s="13"/>
      <c r="H16" s="18"/>
      <c r="I16" s="18"/>
      <c r="J16" s="18"/>
      <c r="K16" s="18"/>
      <c r="L16" s="18"/>
      <c r="M16" s="18"/>
      <c r="N16" s="18"/>
    </row>
    <row r="17" spans="1:1" ht="16" customHeight="1" x14ac:dyDescent="0.35">
      <c r="A17" s="31" t="s">
        <v>105</v>
      </c>
    </row>
    <row r="18" spans="1:1" x14ac:dyDescent="0.35">
      <c r="A18" s="31"/>
    </row>
    <row r="19" spans="1:1" x14ac:dyDescent="0.35">
      <c r="A19" s="31"/>
    </row>
    <row r="20" spans="1:1" x14ac:dyDescent="0.35">
      <c r="A20" s="31" t="s">
        <v>106</v>
      </c>
    </row>
    <row r="21" spans="1:1" x14ac:dyDescent="0.35">
      <c r="A21" s="31"/>
    </row>
    <row r="22" spans="1:1" x14ac:dyDescent="0.35">
      <c r="A22" s="31"/>
    </row>
    <row r="23" spans="1:1" x14ac:dyDescent="0.35">
      <c r="A23" s="31" t="s">
        <v>107</v>
      </c>
    </row>
    <row r="24" spans="1:1" x14ac:dyDescent="0.35">
      <c r="A24" s="31"/>
    </row>
    <row r="25" spans="1:1" ht="15" thickBot="1" x14ac:dyDescent="0.4">
      <c r="A25" s="32"/>
    </row>
    <row r="26" spans="1:1" x14ac:dyDescent="0.35">
      <c r="A26" s="26" t="s">
        <v>14</v>
      </c>
    </row>
    <row r="27" spans="1:1" x14ac:dyDescent="0.35">
      <c r="A27" s="27"/>
    </row>
    <row r="28" spans="1:1" x14ac:dyDescent="0.35">
      <c r="A28" s="27"/>
    </row>
    <row r="29" spans="1:1" x14ac:dyDescent="0.35">
      <c r="A29" s="27"/>
    </row>
    <row r="30" spans="1:1" x14ac:dyDescent="0.35">
      <c r="A30" s="27"/>
    </row>
    <row r="31" spans="1:1" ht="15" thickBot="1" x14ac:dyDescent="0.4">
      <c r="A31" s="28"/>
    </row>
    <row r="378" spans="4:14" x14ac:dyDescent="0.35">
      <c r="D378" s="4" t="str">
        <f>TRIM(Data!B381)</f>
        <v/>
      </c>
      <c r="E378" s="4" t="str">
        <f>TRIM(Data!C381)</f>
        <v/>
      </c>
      <c r="F378" s="10" t="str">
        <f>TRIM(Data!DJ381)</f>
        <v/>
      </c>
      <c r="H378" s="9" t="str">
        <f>TRIM(Data!AF381)</f>
        <v/>
      </c>
      <c r="K378" s="9" t="str">
        <f>TRIM(Data!BW381)</f>
        <v/>
      </c>
      <c r="L378" s="9" t="str">
        <f>TRIM(Data!CT381)</f>
        <v/>
      </c>
      <c r="M378" s="9" t="str">
        <f>TRIM(Data!DA381)</f>
        <v/>
      </c>
      <c r="N378" s="9" t="str">
        <f>TRIM(Data!DH381)</f>
        <v/>
      </c>
    </row>
    <row r="379" spans="4:14" x14ac:dyDescent="0.35">
      <c r="D379" s="4" t="str">
        <f>TRIM(Data!B382)</f>
        <v/>
      </c>
      <c r="E379" s="4" t="str">
        <f>TRIM(Data!C382)</f>
        <v/>
      </c>
      <c r="F379" s="10" t="str">
        <f>TRIM(Data!DJ382)</f>
        <v/>
      </c>
      <c r="H379" s="9" t="str">
        <f>TRIM(Data!AF382)</f>
        <v/>
      </c>
      <c r="K379" s="9" t="str">
        <f>TRIM(Data!BW382)</f>
        <v/>
      </c>
      <c r="L379" s="9" t="str">
        <f>TRIM(Data!CT382)</f>
        <v/>
      </c>
      <c r="M379" s="9" t="str">
        <f>TRIM(Data!DA382)</f>
        <v/>
      </c>
      <c r="N379" s="9" t="str">
        <f>TRIM(Data!DH382)</f>
        <v/>
      </c>
    </row>
    <row r="380" spans="4:14" x14ac:dyDescent="0.35">
      <c r="D380" s="4" t="str">
        <f>TRIM(Data!B383)</f>
        <v/>
      </c>
      <c r="E380" s="4" t="str">
        <f>TRIM(Data!C383)</f>
        <v/>
      </c>
      <c r="F380" s="10" t="str">
        <f>TRIM(Data!DJ383)</f>
        <v/>
      </c>
      <c r="H380" s="9" t="str">
        <f>TRIM(Data!AF383)</f>
        <v/>
      </c>
      <c r="K380" s="9" t="str">
        <f>TRIM(Data!BW383)</f>
        <v/>
      </c>
      <c r="L380" s="9" t="str">
        <f>TRIM(Data!CT383)</f>
        <v/>
      </c>
      <c r="M380" s="9" t="str">
        <f>TRIM(Data!DA383)</f>
        <v/>
      </c>
      <c r="N380" s="9" t="str">
        <f>TRIM(Data!DH383)</f>
        <v/>
      </c>
    </row>
    <row r="381" spans="4:14" x14ac:dyDescent="0.35">
      <c r="D381" s="4" t="str">
        <f>TRIM(Data!B384)</f>
        <v/>
      </c>
      <c r="E381" s="4" t="str">
        <f>TRIM(Data!C384)</f>
        <v/>
      </c>
      <c r="F381" s="10" t="str">
        <f>TRIM(Data!DJ384)</f>
        <v/>
      </c>
      <c r="H381" s="9" t="str">
        <f>TRIM(Data!AF384)</f>
        <v/>
      </c>
      <c r="K381" s="9" t="str">
        <f>TRIM(Data!BW384)</f>
        <v/>
      </c>
      <c r="L381" s="9" t="str">
        <f>TRIM(Data!CT384)</f>
        <v/>
      </c>
      <c r="M381" s="9" t="str">
        <f>TRIM(Data!DA384)</f>
        <v/>
      </c>
      <c r="N381" s="9" t="str">
        <f>TRIM(Data!DH384)</f>
        <v/>
      </c>
    </row>
    <row r="382" spans="4:14" x14ac:dyDescent="0.35">
      <c r="D382" s="4" t="str">
        <f>TRIM(Data!B385)</f>
        <v/>
      </c>
      <c r="E382" s="4" t="str">
        <f>TRIM(Data!C385)</f>
        <v/>
      </c>
      <c r="F382" s="10" t="str">
        <f>TRIM(Data!DJ385)</f>
        <v/>
      </c>
      <c r="H382" s="9" t="str">
        <f>TRIM(Data!AF385)</f>
        <v/>
      </c>
      <c r="K382" s="9" t="str">
        <f>TRIM(Data!BW385)</f>
        <v/>
      </c>
      <c r="L382" s="9" t="str">
        <f>TRIM(Data!CT385)</f>
        <v/>
      </c>
      <c r="M382" s="9" t="str">
        <f>TRIM(Data!DA385)</f>
        <v/>
      </c>
      <c r="N382" s="9" t="str">
        <f>TRIM(Data!DH385)</f>
        <v/>
      </c>
    </row>
    <row r="383" spans="4:14" x14ac:dyDescent="0.35">
      <c r="D383" s="4" t="str">
        <f>TRIM(Data!B386)</f>
        <v/>
      </c>
      <c r="E383" s="4" t="str">
        <f>TRIM(Data!C386)</f>
        <v/>
      </c>
      <c r="F383" s="10" t="str">
        <f>TRIM(Data!DJ386)</f>
        <v/>
      </c>
      <c r="H383" s="9" t="str">
        <f>TRIM(Data!AF386)</f>
        <v/>
      </c>
      <c r="K383" s="9" t="str">
        <f>TRIM(Data!BW386)</f>
        <v/>
      </c>
      <c r="L383" s="9" t="str">
        <f>TRIM(Data!CT386)</f>
        <v/>
      </c>
      <c r="M383" s="9" t="str">
        <f>TRIM(Data!DA386)</f>
        <v/>
      </c>
      <c r="N383" s="9" t="str">
        <f>TRIM(Data!DH386)</f>
        <v/>
      </c>
    </row>
    <row r="384" spans="4:14" x14ac:dyDescent="0.35">
      <c r="D384" s="4" t="str">
        <f>TRIM(Data!B387)</f>
        <v/>
      </c>
      <c r="E384" s="4" t="str">
        <f>TRIM(Data!C387)</f>
        <v/>
      </c>
      <c r="F384" s="10" t="str">
        <f>TRIM(Data!DJ387)</f>
        <v/>
      </c>
      <c r="H384" s="9" t="str">
        <f>TRIM(Data!AF387)</f>
        <v/>
      </c>
      <c r="K384" s="9" t="str">
        <f>TRIM(Data!BW387)</f>
        <v/>
      </c>
      <c r="L384" s="9" t="str">
        <f>TRIM(Data!CT387)</f>
        <v/>
      </c>
      <c r="M384" s="9" t="str">
        <f>TRIM(Data!DA387)</f>
        <v/>
      </c>
      <c r="N384" s="9" t="str">
        <f>TRIM(Data!DH387)</f>
        <v/>
      </c>
    </row>
    <row r="385" spans="4:14" x14ac:dyDescent="0.35">
      <c r="D385" s="4" t="str">
        <f>TRIM(Data!B388)</f>
        <v/>
      </c>
      <c r="E385" s="4" t="str">
        <f>TRIM(Data!C388)</f>
        <v/>
      </c>
      <c r="F385" s="10" t="str">
        <f>TRIM(Data!DJ388)</f>
        <v/>
      </c>
      <c r="H385" s="9" t="str">
        <f>TRIM(Data!AF388)</f>
        <v/>
      </c>
      <c r="K385" s="9" t="str">
        <f>TRIM(Data!BW388)</f>
        <v/>
      </c>
      <c r="L385" s="9" t="str">
        <f>TRIM(Data!CT388)</f>
        <v/>
      </c>
      <c r="M385" s="9" t="str">
        <f>TRIM(Data!DA388)</f>
        <v/>
      </c>
      <c r="N385" s="9" t="str">
        <f>TRIM(Data!DH388)</f>
        <v/>
      </c>
    </row>
    <row r="386" spans="4:14" x14ac:dyDescent="0.35">
      <c r="D386" s="4" t="str">
        <f>TRIM(Data!B389)</f>
        <v/>
      </c>
      <c r="E386" s="4" t="str">
        <f>TRIM(Data!C389)</f>
        <v/>
      </c>
      <c r="F386" s="10" t="str">
        <f>TRIM(Data!DJ389)</f>
        <v/>
      </c>
      <c r="H386" s="9" t="str">
        <f>TRIM(Data!AF389)</f>
        <v/>
      </c>
      <c r="K386" s="9" t="str">
        <f>TRIM(Data!BW389)</f>
        <v/>
      </c>
      <c r="L386" s="9" t="str">
        <f>TRIM(Data!CT389)</f>
        <v/>
      </c>
      <c r="M386" s="9" t="str">
        <f>TRIM(Data!DA389)</f>
        <v/>
      </c>
      <c r="N386" s="9" t="str">
        <f>TRIM(Data!DH389)</f>
        <v/>
      </c>
    </row>
    <row r="387" spans="4:14" x14ac:dyDescent="0.35">
      <c r="D387" s="4" t="str">
        <f>TRIM(Data!B390)</f>
        <v/>
      </c>
      <c r="E387" s="4" t="str">
        <f>TRIM(Data!C390)</f>
        <v/>
      </c>
      <c r="F387" s="10" t="str">
        <f>TRIM(Data!DJ390)</f>
        <v/>
      </c>
      <c r="H387" s="9" t="str">
        <f>TRIM(Data!AF390)</f>
        <v/>
      </c>
      <c r="K387" s="9" t="str">
        <f>TRIM(Data!BW390)</f>
        <v/>
      </c>
      <c r="L387" s="9" t="str">
        <f>TRIM(Data!CT390)</f>
        <v/>
      </c>
      <c r="M387" s="9" t="str">
        <f>TRIM(Data!DA390)</f>
        <v/>
      </c>
      <c r="N387" s="9" t="str">
        <f>TRIM(Data!DH390)</f>
        <v/>
      </c>
    </row>
  </sheetData>
  <sheetProtection formatCells="0" formatColumns="0" formatRows="0" sort="0" pivotTables="0"/>
  <mergeCells count="10">
    <mergeCell ref="A26:A31"/>
    <mergeCell ref="B2:C3"/>
    <mergeCell ref="A14:A16"/>
    <mergeCell ref="A11:A13"/>
    <mergeCell ref="A8:A10"/>
    <mergeCell ref="A2:A4"/>
    <mergeCell ref="A5:A7"/>
    <mergeCell ref="A17:A19"/>
    <mergeCell ref="A20:A22"/>
    <mergeCell ref="A23:A25"/>
  </mergeCells>
  <conditionalFormatting sqref="F1:N1048576">
    <cfRule type="containsText" dxfId="5" priority="2" operator="containsText" text="critical">
      <formula>NOT(ISERROR(SEARCH("critical",F1)))</formula>
    </cfRule>
    <cfRule type="containsText" dxfId="4" priority="3" operator="containsText" text="serious">
      <formula>NOT(ISERROR(SEARCH("serious",F1)))</formula>
    </cfRule>
    <cfRule type="containsText" dxfId="3" priority="4" operator="containsText" text="Moderate">
      <formula>NOT(ISERROR(SEARCH("Moderate",F1)))</formula>
    </cfRule>
    <cfRule type="containsText" dxfId="2" priority="5" operator="containsText" text="Low">
      <formula>NOT(ISERROR(SEARCH("Low",F1)))</formula>
    </cfRule>
  </conditionalFormatting>
  <conditionalFormatting sqref="I1:I1048576">
    <cfRule type="containsText" dxfId="1" priority="1" operator="containsText" text="not applicable">
      <formula>NOT(ISERROR(SEARCH("not applicable",I1)))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0</xdr:colOff>
                    <xdr:row>3</xdr:row>
                    <xdr:rowOff>146050</xdr:rowOff>
                  </from>
                  <to>
                    <xdr:col>3</xdr:col>
                    <xdr:colOff>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43D9D-6921-4C35-9316-F4DA6378EB35}">
  <sheetPr codeName="Sheet2"/>
  <dimension ref="A1:IS33"/>
  <sheetViews>
    <sheetView tabSelected="1" topLeftCell="BT1" zoomScale="228" zoomScaleNormal="100" workbookViewId="0">
      <selection activeCell="DB3" sqref="DB3"/>
    </sheetView>
  </sheetViews>
  <sheetFormatPr defaultColWidth="8.7265625" defaultRowHeight="14.5" x14ac:dyDescent="0.35"/>
  <cols>
    <col min="1" max="1" width="19.26953125" style="4" customWidth="1"/>
    <col min="2" max="4" width="10.54296875" style="4" customWidth="1"/>
    <col min="5" max="5" width="52.81640625" style="4" customWidth="1"/>
    <col min="6" max="6" width="32.1796875" style="4" customWidth="1"/>
    <col min="7" max="8" width="10.54296875" style="4" customWidth="1"/>
    <col min="9" max="9" width="58.81640625" style="4" customWidth="1"/>
    <col min="10" max="15" width="10.54296875" style="4" customWidth="1"/>
    <col min="16" max="16" width="10.54296875" style="5" customWidth="1"/>
    <col min="17" max="20" width="10.54296875" style="4" customWidth="1"/>
    <col min="21" max="21" width="10.54296875" style="5" customWidth="1"/>
    <col min="22" max="32" width="10.54296875" style="6" customWidth="1"/>
    <col min="33" max="43" width="10.54296875" style="7" customWidth="1"/>
    <col min="44" max="64" width="10.54296875" style="6" customWidth="1"/>
    <col min="65" max="75" width="10.54296875" style="7" customWidth="1"/>
    <col min="76" max="98" width="10.54296875" style="6" customWidth="1"/>
    <col min="99" max="105" width="10.54296875" style="7" customWidth="1"/>
    <col min="106" max="112" width="10.54296875" style="6" customWidth="1"/>
    <col min="113" max="113" width="21.453125" style="4" bestFit="1" customWidth="1"/>
    <col min="114" max="114" width="23.453125" style="4" bestFit="1" customWidth="1"/>
    <col min="115" max="115" width="21.453125" style="4" bestFit="1" customWidth="1"/>
    <col min="116" max="116" width="12.453125" style="4" bestFit="1" customWidth="1"/>
    <col min="117" max="117" width="23" style="4" bestFit="1" customWidth="1"/>
    <col min="118" max="118" width="10.54296875" style="20" customWidth="1"/>
    <col min="119" max="119" width="35" style="20" customWidth="1"/>
    <col min="120" max="123" width="8.7265625" style="4"/>
    <col min="124" max="126" width="8.7265625" style="20"/>
    <col min="127" max="186" width="8.7265625" style="4"/>
    <col min="187" max="193" width="8.7265625" style="23"/>
    <col min="194" max="253" width="8.7265625" style="4"/>
    <col min="254" max="16384" width="8.7265625" style="8"/>
  </cols>
  <sheetData>
    <row r="1" spans="1:253" s="13" customFormat="1" ht="33" customHeight="1" x14ac:dyDescent="0.35">
      <c r="A1" s="21" t="s">
        <v>15</v>
      </c>
      <c r="B1" s="21" t="s">
        <v>1</v>
      </c>
      <c r="C1" s="11" t="s">
        <v>2</v>
      </c>
      <c r="D1" s="11" t="s">
        <v>16</v>
      </c>
      <c r="E1" s="11" t="s">
        <v>17</v>
      </c>
      <c r="F1" s="11" t="s">
        <v>18</v>
      </c>
      <c r="G1" s="11" t="s">
        <v>19</v>
      </c>
      <c r="H1" s="11" t="s">
        <v>20</v>
      </c>
      <c r="I1" s="11" t="s">
        <v>21</v>
      </c>
      <c r="J1" s="11" t="s">
        <v>22</v>
      </c>
      <c r="K1" s="11" t="s">
        <v>23</v>
      </c>
      <c r="L1" s="11" t="s">
        <v>24</v>
      </c>
      <c r="M1" s="11" t="s">
        <v>25</v>
      </c>
      <c r="N1" s="11" t="s">
        <v>26</v>
      </c>
      <c r="O1" s="11" t="s">
        <v>27</v>
      </c>
      <c r="P1" s="14" t="s">
        <v>28</v>
      </c>
      <c r="Q1" s="11" t="s">
        <v>29</v>
      </c>
      <c r="R1" s="11" t="s">
        <v>30</v>
      </c>
      <c r="S1" s="11" t="s">
        <v>31</v>
      </c>
      <c r="T1" s="11" t="s">
        <v>32</v>
      </c>
      <c r="U1" s="14" t="s">
        <v>108</v>
      </c>
      <c r="V1" s="15">
        <v>1.1000000000000001</v>
      </c>
      <c r="W1" s="15" t="s">
        <v>33</v>
      </c>
      <c r="X1" s="15">
        <v>1.2</v>
      </c>
      <c r="Y1" s="15" t="s">
        <v>34</v>
      </c>
      <c r="Z1" s="15">
        <v>1.3</v>
      </c>
      <c r="AA1" s="15" t="s">
        <v>35</v>
      </c>
      <c r="AB1" s="15">
        <v>1.4</v>
      </c>
      <c r="AC1" s="15" t="s">
        <v>36</v>
      </c>
      <c r="AD1" s="15">
        <v>1.5</v>
      </c>
      <c r="AE1" s="15" t="s">
        <v>37</v>
      </c>
      <c r="AF1" s="15" t="s">
        <v>38</v>
      </c>
      <c r="AG1" s="16">
        <v>2.1</v>
      </c>
      <c r="AH1" s="16" t="s">
        <v>39</v>
      </c>
      <c r="AI1" s="16">
        <v>2.2000000000000002</v>
      </c>
      <c r="AJ1" s="16" t="s">
        <v>40</v>
      </c>
      <c r="AK1" s="16">
        <v>2.2999999999999998</v>
      </c>
      <c r="AL1" s="16" t="s">
        <v>41</v>
      </c>
      <c r="AM1" s="16">
        <v>2.4</v>
      </c>
      <c r="AN1" s="16" t="s">
        <v>42</v>
      </c>
      <c r="AO1" s="16">
        <v>2.5</v>
      </c>
      <c r="AP1" s="16" t="s">
        <v>43</v>
      </c>
      <c r="AQ1" s="16" t="s">
        <v>44</v>
      </c>
      <c r="AR1" s="15">
        <v>3.1</v>
      </c>
      <c r="AS1" s="15" t="s">
        <v>45</v>
      </c>
      <c r="AT1" s="15">
        <v>3.2</v>
      </c>
      <c r="AU1" s="15" t="s">
        <v>46</v>
      </c>
      <c r="AV1" s="15">
        <v>3.3</v>
      </c>
      <c r="AW1" s="15" t="s">
        <v>47</v>
      </c>
      <c r="AX1" s="15">
        <v>3.4</v>
      </c>
      <c r="AY1" s="15" t="s">
        <v>48</v>
      </c>
      <c r="AZ1" s="15">
        <v>3.5</v>
      </c>
      <c r="BA1" s="15" t="s">
        <v>49</v>
      </c>
      <c r="BB1" s="15">
        <v>3.6</v>
      </c>
      <c r="BC1" s="15" t="s">
        <v>50</v>
      </c>
      <c r="BD1" s="15">
        <v>3.7</v>
      </c>
      <c r="BE1" s="15" t="s">
        <v>51</v>
      </c>
      <c r="BF1" s="15">
        <v>3.8</v>
      </c>
      <c r="BG1" s="15" t="s">
        <v>52</v>
      </c>
      <c r="BH1" s="15">
        <v>3.9</v>
      </c>
      <c r="BI1" s="15" t="s">
        <v>53</v>
      </c>
      <c r="BJ1" s="17">
        <v>3.1</v>
      </c>
      <c r="BK1" s="15" t="s">
        <v>54</v>
      </c>
      <c r="BL1" s="15" t="s">
        <v>55</v>
      </c>
      <c r="BM1" s="16">
        <v>4.0999999999999996</v>
      </c>
      <c r="BN1" s="16" t="s">
        <v>56</v>
      </c>
      <c r="BO1" s="16">
        <v>4.2</v>
      </c>
      <c r="BP1" s="16" t="s">
        <v>57</v>
      </c>
      <c r="BQ1" s="16">
        <v>4.3</v>
      </c>
      <c r="BR1" s="16" t="s">
        <v>58</v>
      </c>
      <c r="BS1" s="16">
        <v>4.4000000000000004</v>
      </c>
      <c r="BT1" s="16" t="s">
        <v>59</v>
      </c>
      <c r="BU1" s="16">
        <v>4.5</v>
      </c>
      <c r="BV1" s="16" t="s">
        <v>60</v>
      </c>
      <c r="BW1" s="16" t="s">
        <v>61</v>
      </c>
      <c r="BX1" s="15">
        <v>5.0999999999999996</v>
      </c>
      <c r="BY1" s="15" t="s">
        <v>62</v>
      </c>
      <c r="BZ1" s="15">
        <v>5.2</v>
      </c>
      <c r="CA1" s="15" t="s">
        <v>63</v>
      </c>
      <c r="CB1" s="15">
        <v>5.3</v>
      </c>
      <c r="CC1" s="15" t="s">
        <v>64</v>
      </c>
      <c r="CD1" s="15">
        <v>5.4</v>
      </c>
      <c r="CE1" s="15" t="s">
        <v>65</v>
      </c>
      <c r="CF1" s="15">
        <v>5.5</v>
      </c>
      <c r="CG1" s="15" t="s">
        <v>66</v>
      </c>
      <c r="CH1" s="15">
        <v>5.6</v>
      </c>
      <c r="CI1" s="15" t="s">
        <v>67</v>
      </c>
      <c r="CJ1" s="15">
        <v>5.7</v>
      </c>
      <c r="CK1" s="15" t="s">
        <v>68</v>
      </c>
      <c r="CL1" s="15">
        <v>5.8</v>
      </c>
      <c r="CM1" s="15" t="s">
        <v>69</v>
      </c>
      <c r="CN1" s="15">
        <v>5.9</v>
      </c>
      <c r="CO1" s="15" t="s">
        <v>70</v>
      </c>
      <c r="CP1" s="17">
        <v>5.0999999999999996</v>
      </c>
      <c r="CQ1" s="15" t="s">
        <v>71</v>
      </c>
      <c r="CR1" s="15">
        <v>5.1100000000000003</v>
      </c>
      <c r="CS1" s="15" t="s">
        <v>72</v>
      </c>
      <c r="CT1" s="15" t="s">
        <v>73</v>
      </c>
      <c r="CU1" s="16">
        <v>6.1</v>
      </c>
      <c r="CV1" s="16" t="s">
        <v>74</v>
      </c>
      <c r="CW1" s="16">
        <v>6.2</v>
      </c>
      <c r="CX1" s="16" t="s">
        <v>75</v>
      </c>
      <c r="CY1" s="16">
        <v>6.3</v>
      </c>
      <c r="CZ1" s="16" t="s">
        <v>76</v>
      </c>
      <c r="DA1" s="16" t="s">
        <v>77</v>
      </c>
      <c r="DB1" s="15">
        <v>7.1</v>
      </c>
      <c r="DC1" s="15" t="s">
        <v>78</v>
      </c>
      <c r="DD1" s="15">
        <v>7.2</v>
      </c>
      <c r="DE1" s="15">
        <v>7.3</v>
      </c>
      <c r="DF1" s="15">
        <v>7.4</v>
      </c>
      <c r="DG1" s="15" t="s">
        <v>79</v>
      </c>
      <c r="DH1" s="15" t="s">
        <v>80</v>
      </c>
      <c r="DI1" s="11" t="s">
        <v>81</v>
      </c>
      <c r="DJ1" s="11" t="s">
        <v>82</v>
      </c>
      <c r="DK1" s="11" t="s">
        <v>83</v>
      </c>
      <c r="DL1" s="11" t="s">
        <v>84</v>
      </c>
      <c r="DM1" s="11" t="s">
        <v>85</v>
      </c>
      <c r="DN1" s="19" t="s">
        <v>109</v>
      </c>
      <c r="DO1" s="19" t="s">
        <v>86</v>
      </c>
      <c r="DP1" s="11">
        <v>1</v>
      </c>
      <c r="DQ1" s="11">
        <v>2</v>
      </c>
      <c r="DR1" s="11">
        <v>3</v>
      </c>
      <c r="DS1" s="11">
        <v>4</v>
      </c>
      <c r="DT1" s="19" t="s">
        <v>87</v>
      </c>
      <c r="DU1" s="19" t="s">
        <v>88</v>
      </c>
      <c r="DV1" s="19" t="s">
        <v>89</v>
      </c>
      <c r="DW1" s="11" t="s">
        <v>90</v>
      </c>
      <c r="DX1" s="11" t="s">
        <v>91</v>
      </c>
      <c r="DY1" s="11" t="s">
        <v>92</v>
      </c>
      <c r="DZ1" s="11" t="s">
        <v>93</v>
      </c>
      <c r="EA1" s="11" t="s">
        <v>85</v>
      </c>
      <c r="EB1" s="11" t="s">
        <v>94</v>
      </c>
      <c r="EC1" s="11" t="s">
        <v>90</v>
      </c>
      <c r="ED1" s="11" t="s">
        <v>91</v>
      </c>
      <c r="EE1" s="11" t="s">
        <v>92</v>
      </c>
      <c r="EF1" s="11" t="s">
        <v>93</v>
      </c>
      <c r="EG1" s="11" t="s">
        <v>85</v>
      </c>
      <c r="EH1" s="11" t="s">
        <v>94</v>
      </c>
      <c r="EI1" s="11" t="s">
        <v>90</v>
      </c>
      <c r="EJ1" s="11" t="s">
        <v>91</v>
      </c>
      <c r="EK1" s="11" t="s">
        <v>92</v>
      </c>
      <c r="EL1" s="11" t="s">
        <v>93</v>
      </c>
      <c r="EM1" s="11" t="s">
        <v>85</v>
      </c>
      <c r="EN1" s="11" t="s">
        <v>94</v>
      </c>
      <c r="EO1" s="11" t="s">
        <v>90</v>
      </c>
      <c r="EP1" s="11" t="s">
        <v>91</v>
      </c>
      <c r="EQ1" s="11" t="s">
        <v>92</v>
      </c>
      <c r="ER1" s="11" t="s">
        <v>93</v>
      </c>
      <c r="ES1" s="11" t="s">
        <v>85</v>
      </c>
      <c r="ET1" s="11" t="s">
        <v>94</v>
      </c>
      <c r="EU1" s="11" t="s">
        <v>90</v>
      </c>
      <c r="EV1" s="11" t="s">
        <v>91</v>
      </c>
      <c r="EW1" s="11" t="s">
        <v>92</v>
      </c>
      <c r="EX1" s="11" t="s">
        <v>93</v>
      </c>
      <c r="EY1" s="11" t="s">
        <v>85</v>
      </c>
      <c r="EZ1" s="11" t="s">
        <v>94</v>
      </c>
      <c r="FA1" s="11" t="s">
        <v>90</v>
      </c>
      <c r="FB1" s="11" t="s">
        <v>91</v>
      </c>
      <c r="FC1" s="11" t="s">
        <v>92</v>
      </c>
      <c r="FD1" s="11" t="s">
        <v>93</v>
      </c>
      <c r="FE1" s="11" t="s">
        <v>85</v>
      </c>
      <c r="FF1" s="11" t="s">
        <v>94</v>
      </c>
      <c r="FG1" s="11" t="s">
        <v>90</v>
      </c>
      <c r="FH1" s="11" t="s">
        <v>91</v>
      </c>
      <c r="FI1" s="11" t="s">
        <v>92</v>
      </c>
      <c r="FJ1" s="11" t="s">
        <v>93</v>
      </c>
      <c r="FK1" s="11" t="s">
        <v>85</v>
      </c>
      <c r="FL1" s="11" t="s">
        <v>94</v>
      </c>
      <c r="FM1" s="11" t="s">
        <v>90</v>
      </c>
      <c r="FN1" s="11" t="s">
        <v>91</v>
      </c>
      <c r="FO1" s="11" t="s">
        <v>92</v>
      </c>
      <c r="FP1" s="11" t="s">
        <v>93</v>
      </c>
      <c r="FQ1" s="11" t="s">
        <v>85</v>
      </c>
      <c r="FR1" s="11" t="s">
        <v>94</v>
      </c>
      <c r="FS1" s="11" t="s">
        <v>90</v>
      </c>
      <c r="FT1" s="11" t="s">
        <v>91</v>
      </c>
      <c r="FU1" s="11" t="s">
        <v>92</v>
      </c>
      <c r="FV1" s="11" t="s">
        <v>93</v>
      </c>
      <c r="FW1" s="11" t="s">
        <v>85</v>
      </c>
      <c r="FX1" s="11" t="s">
        <v>94</v>
      </c>
      <c r="FY1" s="11" t="s">
        <v>90</v>
      </c>
      <c r="FZ1" s="11" t="s">
        <v>91</v>
      </c>
      <c r="GA1" s="11" t="s">
        <v>92</v>
      </c>
      <c r="GB1" s="11" t="s">
        <v>93</v>
      </c>
      <c r="GC1" s="11" t="s">
        <v>85</v>
      </c>
      <c r="GD1" s="11" t="s">
        <v>94</v>
      </c>
      <c r="GE1" s="22" t="s">
        <v>95</v>
      </c>
      <c r="GF1" s="22" t="s">
        <v>96</v>
      </c>
      <c r="GG1" s="22" t="s">
        <v>97</v>
      </c>
      <c r="GH1" s="22" t="s">
        <v>98</v>
      </c>
      <c r="GI1" s="22" t="s">
        <v>99</v>
      </c>
      <c r="GJ1" s="22" t="s">
        <v>100</v>
      </c>
      <c r="GK1" s="22" t="s">
        <v>101</v>
      </c>
      <c r="GL1" s="11" t="s">
        <v>90</v>
      </c>
      <c r="GM1" s="11" t="s">
        <v>91</v>
      </c>
      <c r="GN1" s="11" t="s">
        <v>92</v>
      </c>
      <c r="GO1" s="11" t="s">
        <v>93</v>
      </c>
      <c r="GP1" s="11" t="s">
        <v>85</v>
      </c>
      <c r="GQ1" s="11" t="s">
        <v>94</v>
      </c>
      <c r="GR1" s="11" t="s">
        <v>90</v>
      </c>
      <c r="GS1" s="11" t="s">
        <v>91</v>
      </c>
      <c r="GT1" s="11" t="s">
        <v>92</v>
      </c>
      <c r="GU1" s="11" t="s">
        <v>93</v>
      </c>
      <c r="GV1" s="11" t="s">
        <v>85</v>
      </c>
      <c r="GW1" s="11" t="s">
        <v>94</v>
      </c>
      <c r="GX1" s="11" t="s">
        <v>90</v>
      </c>
      <c r="GY1" s="11" t="s">
        <v>91</v>
      </c>
      <c r="GZ1" s="11" t="s">
        <v>92</v>
      </c>
      <c r="HA1" s="11" t="s">
        <v>93</v>
      </c>
      <c r="HB1" s="11" t="s">
        <v>85</v>
      </c>
      <c r="HC1" s="11" t="s">
        <v>94</v>
      </c>
      <c r="HD1" s="11" t="s">
        <v>90</v>
      </c>
      <c r="HE1" s="11" t="s">
        <v>91</v>
      </c>
      <c r="HF1" s="11" t="s">
        <v>92</v>
      </c>
      <c r="HG1" s="11" t="s">
        <v>93</v>
      </c>
      <c r="HH1" s="11" t="s">
        <v>85</v>
      </c>
      <c r="HI1" s="11" t="s">
        <v>94</v>
      </c>
      <c r="HJ1" s="11" t="s">
        <v>90</v>
      </c>
      <c r="HK1" s="11" t="s">
        <v>91</v>
      </c>
      <c r="HL1" s="11" t="s">
        <v>92</v>
      </c>
      <c r="HM1" s="11" t="s">
        <v>93</v>
      </c>
      <c r="HN1" s="11" t="s">
        <v>85</v>
      </c>
      <c r="HO1" s="11" t="s">
        <v>94</v>
      </c>
      <c r="HP1" s="11" t="s">
        <v>90</v>
      </c>
      <c r="HQ1" s="11" t="s">
        <v>91</v>
      </c>
      <c r="HR1" s="11" t="s">
        <v>92</v>
      </c>
      <c r="HS1" s="11" t="s">
        <v>93</v>
      </c>
      <c r="HT1" s="11" t="s">
        <v>85</v>
      </c>
      <c r="HU1" s="11" t="s">
        <v>94</v>
      </c>
      <c r="HV1" s="11" t="s">
        <v>90</v>
      </c>
      <c r="HW1" s="11" t="s">
        <v>91</v>
      </c>
      <c r="HX1" s="11" t="s">
        <v>92</v>
      </c>
      <c r="HY1" s="11" t="s">
        <v>93</v>
      </c>
      <c r="HZ1" s="11" t="s">
        <v>85</v>
      </c>
      <c r="IA1" s="11" t="s">
        <v>94</v>
      </c>
      <c r="IB1" s="11" t="s">
        <v>90</v>
      </c>
      <c r="IC1" s="11" t="s">
        <v>91</v>
      </c>
      <c r="ID1" s="11" t="s">
        <v>92</v>
      </c>
      <c r="IE1" s="11" t="s">
        <v>93</v>
      </c>
      <c r="IF1" s="11" t="s">
        <v>85</v>
      </c>
      <c r="IG1" s="11" t="s">
        <v>94</v>
      </c>
      <c r="IH1" s="11" t="s">
        <v>90</v>
      </c>
      <c r="II1" s="11" t="s">
        <v>91</v>
      </c>
      <c r="IJ1" s="11" t="s">
        <v>92</v>
      </c>
      <c r="IK1" s="11" t="s">
        <v>93</v>
      </c>
      <c r="IL1" s="11" t="s">
        <v>85</v>
      </c>
      <c r="IM1" s="11" t="s">
        <v>94</v>
      </c>
      <c r="IN1" s="11" t="s">
        <v>90</v>
      </c>
      <c r="IO1" s="11" t="s">
        <v>91</v>
      </c>
      <c r="IP1" s="11" t="s">
        <v>92</v>
      </c>
      <c r="IQ1" s="11" t="s">
        <v>93</v>
      </c>
      <c r="IR1" s="11" t="s">
        <v>85</v>
      </c>
      <c r="IS1" s="11" t="s">
        <v>94</v>
      </c>
    </row>
    <row r="2" spans="1:253" x14ac:dyDescent="0.35">
      <c r="A2" s="3"/>
      <c r="W2" s="24"/>
    </row>
    <row r="3" spans="1:253" x14ac:dyDescent="0.35">
      <c r="A3" s="3"/>
    </row>
    <row r="4" spans="1:253" x14ac:dyDescent="0.35">
      <c r="A4" s="3"/>
    </row>
    <row r="5" spans="1:253" x14ac:dyDescent="0.35">
      <c r="A5" s="3"/>
    </row>
    <row r="6" spans="1:253" x14ac:dyDescent="0.35">
      <c r="A6" s="3"/>
    </row>
    <row r="7" spans="1:253" x14ac:dyDescent="0.35">
      <c r="A7" s="3"/>
      <c r="E7" s="2"/>
    </row>
    <row r="8" spans="1:253" x14ac:dyDescent="0.35">
      <c r="A8" s="3"/>
    </row>
    <row r="9" spans="1:253" x14ac:dyDescent="0.35">
      <c r="A9" s="3"/>
    </row>
    <row r="10" spans="1:253" x14ac:dyDescent="0.35">
      <c r="A10" s="3"/>
    </row>
    <row r="11" spans="1:253" x14ac:dyDescent="0.35">
      <c r="A11" s="3"/>
    </row>
    <row r="12" spans="1:253" x14ac:dyDescent="0.35">
      <c r="A12" s="3"/>
    </row>
    <row r="13" spans="1:253" x14ac:dyDescent="0.35">
      <c r="A13" s="3"/>
    </row>
    <row r="14" spans="1:253" x14ac:dyDescent="0.35">
      <c r="A14" s="3"/>
    </row>
    <row r="15" spans="1:253" x14ac:dyDescent="0.35">
      <c r="A15" s="3"/>
    </row>
    <row r="16" spans="1:253" x14ac:dyDescent="0.35">
      <c r="A16" s="3"/>
    </row>
    <row r="17" spans="1:9" x14ac:dyDescent="0.35">
      <c r="A17" s="3"/>
    </row>
    <row r="18" spans="1:9" x14ac:dyDescent="0.35">
      <c r="A18" s="3"/>
    </row>
    <row r="19" spans="1:9" x14ac:dyDescent="0.35">
      <c r="A19" s="3"/>
    </row>
    <row r="20" spans="1:9" x14ac:dyDescent="0.35">
      <c r="A20" s="3"/>
    </row>
    <row r="21" spans="1:9" x14ac:dyDescent="0.35">
      <c r="A21" s="3"/>
    </row>
    <row r="22" spans="1:9" x14ac:dyDescent="0.35">
      <c r="A22" s="3"/>
    </row>
    <row r="23" spans="1:9" x14ac:dyDescent="0.35">
      <c r="A23" s="3"/>
      <c r="F23" s="2"/>
      <c r="G23" s="2"/>
      <c r="H23" s="2"/>
      <c r="I23" s="2"/>
    </row>
    <row r="24" spans="1:9" x14ac:dyDescent="0.35">
      <c r="A24" s="3"/>
      <c r="G24" s="2"/>
    </row>
    <row r="25" spans="1:9" x14ac:dyDescent="0.35">
      <c r="A25" s="3"/>
      <c r="G25" s="2"/>
    </row>
    <row r="26" spans="1:9" x14ac:dyDescent="0.35">
      <c r="A26" s="3"/>
      <c r="G26" s="2"/>
    </row>
    <row r="27" spans="1:9" x14ac:dyDescent="0.35">
      <c r="A27" s="3"/>
    </row>
    <row r="28" spans="1:9" x14ac:dyDescent="0.35">
      <c r="A28" s="3"/>
    </row>
    <row r="29" spans="1:9" x14ac:dyDescent="0.35">
      <c r="A29" s="3"/>
    </row>
    <row r="30" spans="1:9" x14ac:dyDescent="0.35">
      <c r="A30" s="3"/>
      <c r="F30" s="2"/>
    </row>
    <row r="31" spans="1:9" x14ac:dyDescent="0.35">
      <c r="A31" s="3"/>
    </row>
    <row r="32" spans="1:9" x14ac:dyDescent="0.35">
      <c r="A32" s="3"/>
    </row>
    <row r="33" spans="1:1" x14ac:dyDescent="0.35">
      <c r="A33" s="3"/>
    </row>
  </sheetData>
  <conditionalFormatting sqref="P1:P1048576">
    <cfRule type="containsText" dxfId="0" priority="1" operator="containsText" text="critical">
      <formula>NOT(ISERROR(SEARCH("critical",P1)))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53338046D030B4FB31E1B536DC1D2F3" ma:contentTypeVersion="8" ma:contentTypeDescription="Create a new document." ma:contentTypeScope="" ma:versionID="4d757753e6b952ad494fcafff9056b90">
  <xsd:schema xmlns:xsd="http://www.w3.org/2001/XMLSchema" xmlns:xs="http://www.w3.org/2001/XMLSchema" xmlns:p="http://schemas.microsoft.com/office/2006/metadata/properties" xmlns:ns2="8e41096a-7a09-47a2-956b-b2c33eae0a8e" targetNamespace="http://schemas.microsoft.com/office/2006/metadata/properties" ma:root="true" ma:fieldsID="986a1e5f8727b00af3e5d61936323b33" ns2:_="">
    <xsd:import namespace="8e41096a-7a09-47a2-956b-b2c33eae0a8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e41096a-7a09-47a2-956b-b2c33eae0a8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0F425F7-05B1-45E3-8626-A93E49C2D48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4595F86-0C9C-4EE6-8796-AF6C75CF9B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e41096a-7a09-47a2-956b-b2c33eae0a8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13025EBB-7349-4858-A40F-CAA6C478630E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Xintong Huang</dc:creator>
  <cp:keywords/>
  <dc:description/>
  <cp:lastModifiedBy>Xintong Huang</cp:lastModifiedBy>
  <cp:revision/>
  <dcterms:created xsi:type="dcterms:W3CDTF">2025-04-29T01:23:57Z</dcterms:created>
  <dcterms:modified xsi:type="dcterms:W3CDTF">2025-10-20T23:31:37Z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0x010100553338046D030B4FB31E1B536DC1D2F3</vt:lpwstr>
  </property>
  <property fmtid="{D5CDD505-2E9C-101B-9397-08002B2CF9AE}" pid="3" name="MediaServiceImageTags">
    <vt:lpwstr/>
  </property>
</Properties>
</file>